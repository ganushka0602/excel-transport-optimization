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Data" sheetId="1" state="visible" r:id="rId1"/>
    <sheet xmlns:r="http://schemas.openxmlformats.org/officeDocument/2006/relationships" name="Distance_Matrix" sheetId="2" state="visible" r:id="rId2"/>
    <sheet xmlns:r="http://schemas.openxmlformats.org/officeDocument/2006/relationships" name="Cost_Matrix" sheetId="3" state="visible" r:id="rId3"/>
    <sheet xmlns:r="http://schemas.openxmlformats.org/officeDocument/2006/relationships" name="OpenSolver_Model" sheetId="4" state="visible" r:id="rId4"/>
    <sheet xmlns:r="http://schemas.openxmlformats.org/officeDocument/2006/relationships" name="Dashboard" sheetId="5" state="visible" r:id="rId5"/>
    <sheet xmlns:r="http://schemas.openxmlformats.org/officeDocument/2006/relationships" name="READM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5"/>
    </font>
  </fonts>
  <fills count="5">
    <fill>
      <patternFill/>
    </fill>
    <fill>
      <patternFill patternType="gray125"/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0" fillId="4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Warehouse Capacity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'Dashboard'!$D$4:$D$11</f>
            </numRef>
          </cat>
          <val>
            <numRef>
              <f>'Dashboard'!$E$4:$E$11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Cost Comparison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'Dashboard'!$A$4:$A$5</f>
            </numRef>
          </cat>
          <val>
            <numRef>
              <f>'Dashboard'!$B$4:$B$5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Warehouse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Capacity (Tons)</t>
        </is>
      </c>
      <c r="E1" s="1" t="inlineStr">
        <is>
          <t>Rate (₹/ton-km)</t>
        </is>
      </c>
    </row>
    <row r="2">
      <c r="A2" t="inlineStr">
        <is>
          <t>Delhi</t>
        </is>
      </c>
      <c r="B2" t="n">
        <v>28.6139</v>
      </c>
      <c r="C2" t="n">
        <v>77.209</v>
      </c>
      <c r="D2" t="n">
        <v>550</v>
      </c>
      <c r="E2" t="n">
        <v>2.9</v>
      </c>
    </row>
    <row r="3">
      <c r="A3" t="inlineStr">
        <is>
          <t>Jaipur</t>
        </is>
      </c>
      <c r="B3" t="n">
        <v>26.9124</v>
      </c>
      <c r="C3" t="n">
        <v>75.7873</v>
      </c>
      <c r="D3" t="n">
        <v>420</v>
      </c>
      <c r="E3" t="n">
        <v>3</v>
      </c>
    </row>
    <row r="4">
      <c r="A4" t="inlineStr">
        <is>
          <t>Lucknow</t>
        </is>
      </c>
      <c r="B4" t="n">
        <v>26.8467</v>
      </c>
      <c r="C4" t="n">
        <v>80.9462</v>
      </c>
      <c r="D4" t="n">
        <v>380</v>
      </c>
      <c r="E4" t="n">
        <v>3.1</v>
      </c>
    </row>
    <row r="5">
      <c r="A5" t="inlineStr">
        <is>
          <t>Nagpur</t>
        </is>
      </c>
      <c r="B5" t="n">
        <v>21.1458</v>
      </c>
      <c r="C5" t="n">
        <v>79.0882</v>
      </c>
      <c r="D5" t="n">
        <v>500</v>
      </c>
      <c r="E5" t="n">
        <v>2.8</v>
      </c>
    </row>
    <row r="6">
      <c r="A6" t="inlineStr">
        <is>
          <t>Mumbai</t>
        </is>
      </c>
      <c r="B6" t="n">
        <v>19.076</v>
      </c>
      <c r="C6" t="n">
        <v>72.8777</v>
      </c>
      <c r="D6" t="n">
        <v>650</v>
      </c>
      <c r="E6" t="n">
        <v>3.3</v>
      </c>
    </row>
    <row r="7">
      <c r="A7" t="inlineStr">
        <is>
          <t>Bengaluru</t>
        </is>
      </c>
      <c r="B7" t="n">
        <v>12.9716</v>
      </c>
      <c r="C7" t="n">
        <v>77.5946</v>
      </c>
      <c r="D7" t="n">
        <v>480</v>
      </c>
      <c r="E7" t="n">
        <v>3</v>
      </c>
    </row>
    <row r="8">
      <c r="A8" t="inlineStr">
        <is>
          <t>Kolkata</t>
        </is>
      </c>
      <c r="B8" t="n">
        <v>22.5726</v>
      </c>
      <c r="C8" t="n">
        <v>88.3639</v>
      </c>
      <c r="D8" t="n">
        <v>430</v>
      </c>
      <c r="E8" t="n">
        <v>3.2</v>
      </c>
    </row>
    <row r="9">
      <c r="A9" t="inlineStr">
        <is>
          <t>Chandigarh</t>
        </is>
      </c>
      <c r="B9" t="n">
        <v>30.7333</v>
      </c>
      <c r="C9" t="n">
        <v>76.7794</v>
      </c>
      <c r="D9" t="n">
        <v>300</v>
      </c>
      <c r="E9" t="n">
        <v>2.9</v>
      </c>
    </row>
    <row r="12">
      <c r="A12" s="2" t="inlineStr">
        <is>
          <t>Customer</t>
        </is>
      </c>
      <c r="B12" s="2" t="inlineStr">
        <is>
          <t>Latitude</t>
        </is>
      </c>
      <c r="C12" s="2" t="inlineStr">
        <is>
          <t>Longitude</t>
        </is>
      </c>
      <c r="D12" s="2" t="inlineStr">
        <is>
          <t>Demand (Tons)</t>
        </is>
      </c>
    </row>
    <row r="13">
      <c r="A13" t="inlineStr">
        <is>
          <t>Agra</t>
        </is>
      </c>
      <c r="B13" t="n">
        <v>27.1767</v>
      </c>
      <c r="C13" t="n">
        <v>78.0081</v>
      </c>
      <c r="D13" t="n">
        <v>60</v>
      </c>
    </row>
    <row r="14">
      <c r="A14" t="inlineStr">
        <is>
          <t>Kanpur</t>
        </is>
      </c>
      <c r="B14" t="n">
        <v>26.4499</v>
      </c>
      <c r="C14" t="n">
        <v>80.3319</v>
      </c>
      <c r="D14" t="n">
        <v>55</v>
      </c>
    </row>
    <row r="15">
      <c r="A15" t="inlineStr">
        <is>
          <t>Indore</t>
        </is>
      </c>
      <c r="B15" t="n">
        <v>22.7196</v>
      </c>
      <c r="C15" t="n">
        <v>75.85769999999999</v>
      </c>
      <c r="D15" t="n">
        <v>75</v>
      </c>
    </row>
    <row r="16">
      <c r="A16" t="inlineStr">
        <is>
          <t>Ahmedabad</t>
        </is>
      </c>
      <c r="B16" t="n">
        <v>23.0225</v>
      </c>
      <c r="C16" t="n">
        <v>72.5714</v>
      </c>
      <c r="D16" t="n">
        <v>70</v>
      </c>
    </row>
    <row r="17">
      <c r="A17" t="inlineStr">
        <is>
          <t>Patna</t>
        </is>
      </c>
      <c r="B17" t="n">
        <v>25.5941</v>
      </c>
      <c r="C17" t="n">
        <v>85.13760000000001</v>
      </c>
      <c r="D17" t="n">
        <v>65</v>
      </c>
    </row>
    <row r="18">
      <c r="A18" t="inlineStr">
        <is>
          <t>Ranchi</t>
        </is>
      </c>
      <c r="B18" t="n">
        <v>23.3441</v>
      </c>
      <c r="C18" t="n">
        <v>85.3096</v>
      </c>
      <c r="D18" t="n">
        <v>50</v>
      </c>
    </row>
    <row r="19">
      <c r="A19" t="inlineStr">
        <is>
          <t>Hyderabad</t>
        </is>
      </c>
      <c r="B19" t="n">
        <v>17.385</v>
      </c>
      <c r="C19" t="n">
        <v>78.4867</v>
      </c>
      <c r="D19" t="n">
        <v>80</v>
      </c>
    </row>
    <row r="20">
      <c r="A20" t="inlineStr">
        <is>
          <t>Chennai</t>
        </is>
      </c>
      <c r="B20" t="n">
        <v>13.0827</v>
      </c>
      <c r="C20" t="n">
        <v>80.27070000000001</v>
      </c>
      <c r="D20" t="n">
        <v>90</v>
      </c>
    </row>
    <row r="21">
      <c r="A21" t="inlineStr">
        <is>
          <t>Kochi</t>
        </is>
      </c>
      <c r="B21" t="n">
        <v>9.9312</v>
      </c>
      <c r="C21" t="n">
        <v>76.26730000000001</v>
      </c>
      <c r="D21" t="n">
        <v>45</v>
      </c>
    </row>
    <row r="22">
      <c r="A22" t="inlineStr">
        <is>
          <t>Guwahati</t>
        </is>
      </c>
      <c r="B22" t="n">
        <v>26.1445</v>
      </c>
      <c r="C22" t="n">
        <v>91.7362</v>
      </c>
      <c r="D22" t="n">
        <v>40</v>
      </c>
    </row>
    <row r="23">
      <c r="A23" t="inlineStr">
        <is>
          <t>Surat</t>
        </is>
      </c>
      <c r="B23" t="n">
        <v>21.1702</v>
      </c>
      <c r="C23" t="n">
        <v>72.83110000000001</v>
      </c>
      <c r="D23" t="n">
        <v>60</v>
      </c>
    </row>
    <row r="24">
      <c r="A24" t="inlineStr">
        <is>
          <t>Pune</t>
        </is>
      </c>
      <c r="B24" t="n">
        <v>18.5204</v>
      </c>
      <c r="C24" t="n">
        <v>73.8567</v>
      </c>
      <c r="D24" t="n">
        <v>85</v>
      </c>
    </row>
    <row r="25">
      <c r="A25" t="inlineStr">
        <is>
          <t>Varanasi</t>
        </is>
      </c>
      <c r="B25" t="n">
        <v>25.3176</v>
      </c>
      <c r="C25" t="n">
        <v>82.9739</v>
      </c>
      <c r="D25" t="n">
        <v>55</v>
      </c>
    </row>
    <row r="26">
      <c r="A26" t="inlineStr">
        <is>
          <t>Bhubaneswar</t>
        </is>
      </c>
      <c r="B26" t="n">
        <v>20.2961</v>
      </c>
      <c r="C26" t="n">
        <v>85.8245</v>
      </c>
      <c r="D26" t="n">
        <v>50</v>
      </c>
    </row>
    <row r="27">
      <c r="A27" t="inlineStr">
        <is>
          <t>Jodhpur</t>
        </is>
      </c>
      <c r="B27" t="n">
        <v>26.2389</v>
      </c>
      <c r="C27" t="n">
        <v>73.0243</v>
      </c>
      <c r="D27" t="n">
        <v>45</v>
      </c>
    </row>
    <row r="28">
      <c r="A28" t="inlineStr">
        <is>
          <t>Dehradun</t>
        </is>
      </c>
      <c r="B28" t="n">
        <v>30.3165</v>
      </c>
      <c r="C28" t="n">
        <v>78.0322</v>
      </c>
      <c r="D28" t="n">
        <v>35</v>
      </c>
    </row>
    <row r="29">
      <c r="A29" t="inlineStr">
        <is>
          <t>Raipur</t>
        </is>
      </c>
      <c r="B29" t="n">
        <v>21.2514</v>
      </c>
      <c r="C29" t="n">
        <v>81.6296</v>
      </c>
      <c r="D29" t="n">
        <v>65</v>
      </c>
    </row>
    <row r="30">
      <c r="A30" t="inlineStr">
        <is>
          <t>Mysuru</t>
        </is>
      </c>
      <c r="B30" t="n">
        <v>12.2958</v>
      </c>
      <c r="C30" t="n">
        <v>76.63939999999999</v>
      </c>
      <c r="D30" t="n">
        <v>40</v>
      </c>
    </row>
    <row r="31">
      <c r="A31" t="inlineStr">
        <is>
          <t>Vijayawada</t>
        </is>
      </c>
      <c r="B31" t="n">
        <v>16.5062</v>
      </c>
      <c r="C31" t="n">
        <v>80.648</v>
      </c>
      <c r="D31" t="n">
        <v>45</v>
      </c>
    </row>
    <row r="32">
      <c r="A32" t="inlineStr">
        <is>
          <t>Nashik</t>
        </is>
      </c>
      <c r="B32" t="n">
        <v>19.9975</v>
      </c>
      <c r="C32" t="n">
        <v>73.7898</v>
      </c>
      <c r="D32" t="n">
        <v>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Warehouse / Customer</t>
        </is>
      </c>
      <c r="B1" t="inlineStr">
        <is>
          <t>Agra</t>
        </is>
      </c>
      <c r="C1" t="inlineStr">
        <is>
          <t>Kanpur</t>
        </is>
      </c>
      <c r="D1" t="inlineStr">
        <is>
          <t>Indore</t>
        </is>
      </c>
      <c r="E1" t="inlineStr">
        <is>
          <t>Ahmedabad</t>
        </is>
      </c>
      <c r="F1" t="inlineStr">
        <is>
          <t>Patna</t>
        </is>
      </c>
      <c r="G1" t="inlineStr">
        <is>
          <t>Ranchi</t>
        </is>
      </c>
      <c r="H1" t="inlineStr">
        <is>
          <t>Hyderabad</t>
        </is>
      </c>
      <c r="I1" t="inlineStr">
        <is>
          <t>Chennai</t>
        </is>
      </c>
      <c r="J1" t="inlineStr">
        <is>
          <t>Kochi</t>
        </is>
      </c>
      <c r="K1" t="inlineStr">
        <is>
          <t>Guwahati</t>
        </is>
      </c>
      <c r="L1" t="inlineStr">
        <is>
          <t>Surat</t>
        </is>
      </c>
      <c r="M1" t="inlineStr">
        <is>
          <t>Pune</t>
        </is>
      </c>
      <c r="N1" t="inlineStr">
        <is>
          <t>Varanasi</t>
        </is>
      </c>
      <c r="O1" t="inlineStr">
        <is>
          <t>Bhubaneswar</t>
        </is>
      </c>
      <c r="P1" t="inlineStr">
        <is>
          <t>Jodhpur</t>
        </is>
      </c>
      <c r="Q1" t="inlineStr">
        <is>
          <t>Dehradun</t>
        </is>
      </c>
      <c r="R1" t="inlineStr">
        <is>
          <t>Raipur</t>
        </is>
      </c>
      <c r="S1" t="inlineStr">
        <is>
          <t>Mysuru</t>
        </is>
      </c>
      <c r="T1" t="inlineStr">
        <is>
          <t>Vijayawada</t>
        </is>
      </c>
      <c r="U1" t="inlineStr">
        <is>
          <t>Nashik</t>
        </is>
      </c>
    </row>
    <row r="2">
      <c r="A2" t="inlineStr">
        <is>
          <t>Delhi</t>
        </is>
      </c>
      <c r="B2" t="n">
        <v>178.1</v>
      </c>
      <c r="C2" t="n">
        <v>390.8</v>
      </c>
      <c r="D2" t="n">
        <v>669.2</v>
      </c>
      <c r="E2" t="n">
        <v>775.7</v>
      </c>
      <c r="F2" t="n">
        <v>853.4</v>
      </c>
      <c r="G2" t="n">
        <v>999</v>
      </c>
      <c r="H2" t="n">
        <v>1255.4</v>
      </c>
      <c r="I2" t="n">
        <v>1755.8</v>
      </c>
      <c r="J2" t="n">
        <v>2079.7</v>
      </c>
      <c r="K2" t="n">
        <v>1459.4</v>
      </c>
      <c r="L2" t="n">
        <v>937.9</v>
      </c>
      <c r="M2" t="n">
        <v>1173</v>
      </c>
      <c r="N2" t="n">
        <v>678.6</v>
      </c>
      <c r="O2" t="n">
        <v>1270.2</v>
      </c>
      <c r="P2" t="n">
        <v>490.2</v>
      </c>
      <c r="Q2" t="n">
        <v>205.4</v>
      </c>
      <c r="R2" t="n">
        <v>931.9</v>
      </c>
      <c r="S2" t="n">
        <v>1815.5</v>
      </c>
      <c r="T2" t="n">
        <v>1391.6</v>
      </c>
      <c r="U2" t="n">
        <v>1018.6</v>
      </c>
    </row>
    <row r="3">
      <c r="A3" t="inlineStr">
        <is>
          <t>Jaipur</t>
        </is>
      </c>
      <c r="B3" t="n">
        <v>221.9</v>
      </c>
      <c r="C3" t="n">
        <v>454.4</v>
      </c>
      <c r="D3" t="n">
        <v>466.3</v>
      </c>
      <c r="E3" t="n">
        <v>540.5</v>
      </c>
      <c r="F3" t="n">
        <v>943.7</v>
      </c>
      <c r="G3" t="n">
        <v>1037.1</v>
      </c>
      <c r="H3" t="n">
        <v>1095.1</v>
      </c>
      <c r="I3" t="n">
        <v>1607.1</v>
      </c>
      <c r="J3" t="n">
        <v>1888.9</v>
      </c>
      <c r="K3" t="n">
        <v>1588</v>
      </c>
      <c r="L3" t="n">
        <v>705.5</v>
      </c>
      <c r="M3" t="n">
        <v>953.9</v>
      </c>
      <c r="N3" t="n">
        <v>739</v>
      </c>
      <c r="O3" t="n">
        <v>1258.9</v>
      </c>
      <c r="P3" t="n">
        <v>284.8</v>
      </c>
      <c r="Q3" t="n">
        <v>437.3</v>
      </c>
      <c r="R3" t="n">
        <v>864.6</v>
      </c>
      <c r="S3" t="n">
        <v>1627.7</v>
      </c>
      <c r="T3" t="n">
        <v>1261</v>
      </c>
      <c r="U3" t="n">
        <v>795.4</v>
      </c>
    </row>
    <row r="4">
      <c r="A4" t="inlineStr">
        <is>
          <t>Lucknow</t>
        </is>
      </c>
      <c r="B4" t="n">
        <v>293.4</v>
      </c>
      <c r="C4" t="n">
        <v>75.3</v>
      </c>
      <c r="D4" t="n">
        <v>688.7</v>
      </c>
      <c r="E4" t="n">
        <v>945.1</v>
      </c>
      <c r="F4" t="n">
        <v>440.7</v>
      </c>
      <c r="G4" t="n">
        <v>587.1</v>
      </c>
      <c r="H4" t="n">
        <v>1082.1</v>
      </c>
      <c r="I4" t="n">
        <v>1532.1</v>
      </c>
      <c r="J4" t="n">
        <v>1944</v>
      </c>
      <c r="K4" t="n">
        <v>1076.3</v>
      </c>
      <c r="L4" t="n">
        <v>1037.7</v>
      </c>
      <c r="M4" t="n">
        <v>1176.7</v>
      </c>
      <c r="N4" t="n">
        <v>264.4</v>
      </c>
      <c r="O4" t="n">
        <v>881.6</v>
      </c>
      <c r="P4" t="n">
        <v>790.8</v>
      </c>
      <c r="Q4" t="n">
        <v>479.3</v>
      </c>
      <c r="R4" t="n">
        <v>626</v>
      </c>
      <c r="S4" t="n">
        <v>1679.3</v>
      </c>
      <c r="T4" t="n">
        <v>1150.2</v>
      </c>
      <c r="U4" t="n">
        <v>1054.6</v>
      </c>
    </row>
    <row r="5">
      <c r="A5" t="inlineStr">
        <is>
          <t>Nagpur</t>
        </is>
      </c>
      <c r="B5" t="n">
        <v>679.5</v>
      </c>
      <c r="C5" t="n">
        <v>603.2</v>
      </c>
      <c r="D5" t="n">
        <v>376.4</v>
      </c>
      <c r="E5" t="n">
        <v>703.1</v>
      </c>
      <c r="F5" t="n">
        <v>790.9</v>
      </c>
      <c r="G5" t="n">
        <v>685.3</v>
      </c>
      <c r="H5" t="n">
        <v>422.9</v>
      </c>
      <c r="I5" t="n">
        <v>905.3</v>
      </c>
      <c r="J5" t="n">
        <v>1283</v>
      </c>
      <c r="K5" t="n">
        <v>1402.1</v>
      </c>
      <c r="L5" t="n">
        <v>648.8</v>
      </c>
      <c r="M5" t="n">
        <v>620.1</v>
      </c>
      <c r="N5" t="n">
        <v>610.5</v>
      </c>
      <c r="O5" t="n">
        <v>706.9</v>
      </c>
      <c r="P5" t="n">
        <v>837.6</v>
      </c>
      <c r="Q5" t="n">
        <v>1025.2</v>
      </c>
      <c r="R5" t="n">
        <v>263.7</v>
      </c>
      <c r="S5" t="n">
        <v>1018</v>
      </c>
      <c r="T5" t="n">
        <v>541.4</v>
      </c>
      <c r="U5" t="n">
        <v>566.1</v>
      </c>
    </row>
    <row r="6">
      <c r="A6" t="inlineStr">
        <is>
          <t>Mumbai</t>
        </is>
      </c>
      <c r="B6" t="n">
        <v>1042</v>
      </c>
      <c r="C6" t="n">
        <v>1120.3</v>
      </c>
      <c r="D6" t="n">
        <v>509.8</v>
      </c>
      <c r="E6" t="n">
        <v>440</v>
      </c>
      <c r="F6" t="n">
        <v>1453.2</v>
      </c>
      <c r="G6" t="n">
        <v>1372.6</v>
      </c>
      <c r="H6" t="n">
        <v>621.5</v>
      </c>
      <c r="I6" t="n">
        <v>1033.1</v>
      </c>
      <c r="J6" t="n">
        <v>1080.2</v>
      </c>
      <c r="K6" t="n">
        <v>2086.3</v>
      </c>
      <c r="L6" t="n">
        <v>232.9</v>
      </c>
      <c r="M6" t="n">
        <v>120.2</v>
      </c>
      <c r="N6" t="n">
        <v>1249.1</v>
      </c>
      <c r="O6" t="n">
        <v>1361.9</v>
      </c>
      <c r="P6" t="n">
        <v>796.6</v>
      </c>
      <c r="Q6" t="n">
        <v>1353.5</v>
      </c>
      <c r="R6" t="n">
        <v>944.8</v>
      </c>
      <c r="S6" t="n">
        <v>854.6</v>
      </c>
      <c r="T6" t="n">
        <v>870.8</v>
      </c>
      <c r="U6" t="n">
        <v>140.1</v>
      </c>
    </row>
    <row r="7">
      <c r="A7" t="inlineStr">
        <is>
          <t>Bengaluru</t>
        </is>
      </c>
      <c r="B7" t="n">
        <v>1580.1</v>
      </c>
      <c r="C7" t="n">
        <v>1525.7</v>
      </c>
      <c r="D7" t="n">
        <v>1099.4</v>
      </c>
      <c r="E7" t="n">
        <v>1237</v>
      </c>
      <c r="F7" t="n">
        <v>1610.3</v>
      </c>
      <c r="G7" t="n">
        <v>1411.5</v>
      </c>
      <c r="H7" t="n">
        <v>500</v>
      </c>
      <c r="I7" t="n">
        <v>290.2</v>
      </c>
      <c r="J7" t="n">
        <v>367.7</v>
      </c>
      <c r="K7" t="n">
        <v>2080</v>
      </c>
      <c r="L7" t="n">
        <v>1042.5</v>
      </c>
      <c r="M7" t="n">
        <v>735.2</v>
      </c>
      <c r="N7" t="n">
        <v>1484</v>
      </c>
      <c r="O7" t="n">
        <v>1196.1</v>
      </c>
      <c r="P7" t="n">
        <v>1550.5</v>
      </c>
      <c r="Q7" t="n">
        <v>1929.2</v>
      </c>
      <c r="R7" t="n">
        <v>1015.4</v>
      </c>
      <c r="S7" t="n">
        <v>128</v>
      </c>
      <c r="T7" t="n">
        <v>512.1</v>
      </c>
      <c r="U7" t="n">
        <v>880.1</v>
      </c>
    </row>
    <row r="8">
      <c r="A8" t="inlineStr">
        <is>
          <t>Kolkata</t>
        </is>
      </c>
      <c r="B8" t="n">
        <v>1162.7</v>
      </c>
      <c r="C8" t="n">
        <v>919.6</v>
      </c>
      <c r="D8" t="n">
        <v>1283.1</v>
      </c>
      <c r="E8" t="n">
        <v>1618.9</v>
      </c>
      <c r="F8" t="n">
        <v>469.2</v>
      </c>
      <c r="G8" t="n">
        <v>324.3</v>
      </c>
      <c r="H8" t="n">
        <v>1181.9</v>
      </c>
      <c r="I8" t="n">
        <v>1358.4</v>
      </c>
      <c r="J8" t="n">
        <v>1906.4</v>
      </c>
      <c r="K8" t="n">
        <v>523.8</v>
      </c>
      <c r="L8" t="n">
        <v>1609.7</v>
      </c>
      <c r="M8" t="n">
        <v>1575.4</v>
      </c>
      <c r="N8" t="n">
        <v>627</v>
      </c>
      <c r="O8" t="n">
        <v>364.9</v>
      </c>
      <c r="P8" t="n">
        <v>1604.7</v>
      </c>
      <c r="Q8" t="n">
        <v>1340.2</v>
      </c>
      <c r="R8" t="n">
        <v>710</v>
      </c>
      <c r="S8" t="n">
        <v>1687.3</v>
      </c>
      <c r="T8" t="n">
        <v>1052.5</v>
      </c>
      <c r="U8" t="n">
        <v>1536.2</v>
      </c>
    </row>
    <row r="9">
      <c r="A9" t="inlineStr">
        <is>
          <t>Chandigarh</t>
        </is>
      </c>
      <c r="B9" t="n">
        <v>413.1</v>
      </c>
      <c r="C9" t="n">
        <v>589.1</v>
      </c>
      <c r="D9" t="n">
        <v>895.8</v>
      </c>
      <c r="E9" t="n">
        <v>953.3</v>
      </c>
      <c r="F9" t="n">
        <v>998.4</v>
      </c>
      <c r="G9" t="n">
        <v>1177.6</v>
      </c>
      <c r="H9" t="n">
        <v>1494.3</v>
      </c>
      <c r="I9" t="n">
        <v>1995</v>
      </c>
      <c r="J9" t="n">
        <v>2313.7</v>
      </c>
      <c r="K9" t="n">
        <v>1547.3</v>
      </c>
      <c r="L9" t="n">
        <v>1134</v>
      </c>
      <c r="M9" t="n">
        <v>1389.6</v>
      </c>
      <c r="N9" t="n">
        <v>855.4</v>
      </c>
      <c r="O9" t="n">
        <v>1471.9</v>
      </c>
      <c r="P9" t="n">
        <v>619.9</v>
      </c>
      <c r="Q9" t="n">
        <v>128.6</v>
      </c>
      <c r="R9" t="n">
        <v>1160</v>
      </c>
      <c r="S9" t="n">
        <v>2050.2</v>
      </c>
      <c r="T9" t="n">
        <v>1629.9</v>
      </c>
      <c r="U9" t="n">
        <v>1230.8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Warehouse / Customer</t>
        </is>
      </c>
      <c r="B1" t="inlineStr">
        <is>
          <t>Agra</t>
        </is>
      </c>
      <c r="C1" t="inlineStr">
        <is>
          <t>Kanpur</t>
        </is>
      </c>
      <c r="D1" t="inlineStr">
        <is>
          <t>Indore</t>
        </is>
      </c>
      <c r="E1" t="inlineStr">
        <is>
          <t>Ahmedabad</t>
        </is>
      </c>
      <c r="F1" t="inlineStr">
        <is>
          <t>Patna</t>
        </is>
      </c>
      <c r="G1" t="inlineStr">
        <is>
          <t>Ranchi</t>
        </is>
      </c>
      <c r="H1" t="inlineStr">
        <is>
          <t>Hyderabad</t>
        </is>
      </c>
      <c r="I1" t="inlineStr">
        <is>
          <t>Chennai</t>
        </is>
      </c>
      <c r="J1" t="inlineStr">
        <is>
          <t>Kochi</t>
        </is>
      </c>
      <c r="K1" t="inlineStr">
        <is>
          <t>Guwahati</t>
        </is>
      </c>
      <c r="L1" t="inlineStr">
        <is>
          <t>Surat</t>
        </is>
      </c>
      <c r="M1" t="inlineStr">
        <is>
          <t>Pune</t>
        </is>
      </c>
      <c r="N1" t="inlineStr">
        <is>
          <t>Varanasi</t>
        </is>
      </c>
      <c r="O1" t="inlineStr">
        <is>
          <t>Bhubaneswar</t>
        </is>
      </c>
      <c r="P1" t="inlineStr">
        <is>
          <t>Jodhpur</t>
        </is>
      </c>
      <c r="Q1" t="inlineStr">
        <is>
          <t>Dehradun</t>
        </is>
      </c>
      <c r="R1" t="inlineStr">
        <is>
          <t>Raipur</t>
        </is>
      </c>
      <c r="S1" t="inlineStr">
        <is>
          <t>Mysuru</t>
        </is>
      </c>
      <c r="T1" t="inlineStr">
        <is>
          <t>Vijayawada</t>
        </is>
      </c>
      <c r="U1" t="inlineStr">
        <is>
          <t>Nashik</t>
        </is>
      </c>
    </row>
    <row r="2">
      <c r="A2" t="inlineStr">
        <is>
          <t>Delhi</t>
        </is>
      </c>
      <c r="B2" t="n">
        <v>30989</v>
      </c>
      <c r="C2" t="n">
        <v>62333</v>
      </c>
      <c r="D2" t="n">
        <v>145551</v>
      </c>
      <c r="E2" t="n">
        <v>157467</v>
      </c>
      <c r="F2" t="n">
        <v>160866</v>
      </c>
      <c r="G2" t="n">
        <v>144855</v>
      </c>
      <c r="H2" t="n">
        <v>291253</v>
      </c>
      <c r="I2" t="n">
        <v>458264</v>
      </c>
      <c r="J2" t="n">
        <v>271401</v>
      </c>
      <c r="K2" t="n">
        <v>169290</v>
      </c>
      <c r="L2" t="n">
        <v>163195</v>
      </c>
      <c r="M2" t="n">
        <v>289144</v>
      </c>
      <c r="N2" t="n">
        <v>108237</v>
      </c>
      <c r="O2" t="n">
        <v>184179</v>
      </c>
      <c r="P2" t="n">
        <v>63971</v>
      </c>
      <c r="Q2" t="n">
        <v>20848</v>
      </c>
      <c r="R2" t="n">
        <v>175663</v>
      </c>
      <c r="S2" t="n">
        <v>210598</v>
      </c>
      <c r="T2" t="n">
        <v>181604</v>
      </c>
      <c r="U2" t="n">
        <v>162467</v>
      </c>
    </row>
    <row r="3">
      <c r="A3" t="inlineStr">
        <is>
          <t>Jaipur</t>
        </is>
      </c>
      <c r="B3" t="n">
        <v>39942</v>
      </c>
      <c r="C3" t="n">
        <v>74976</v>
      </c>
      <c r="D3" t="n">
        <v>104918</v>
      </c>
      <c r="E3" t="n">
        <v>113505</v>
      </c>
      <c r="F3" t="n">
        <v>184022</v>
      </c>
      <c r="G3" t="n">
        <v>155565</v>
      </c>
      <c r="H3" t="n">
        <v>262824</v>
      </c>
      <c r="I3" t="n">
        <v>433917</v>
      </c>
      <c r="J3" t="n">
        <v>255002</v>
      </c>
      <c r="K3" t="n">
        <v>190560</v>
      </c>
      <c r="L3" t="n">
        <v>126990</v>
      </c>
      <c r="M3" t="n">
        <v>243244</v>
      </c>
      <c r="N3" t="n">
        <v>121935</v>
      </c>
      <c r="O3" t="n">
        <v>188835</v>
      </c>
      <c r="P3" t="n">
        <v>38448</v>
      </c>
      <c r="Q3" t="n">
        <v>45916</v>
      </c>
      <c r="R3" t="n">
        <v>168597</v>
      </c>
      <c r="S3" t="n">
        <v>195324</v>
      </c>
      <c r="T3" t="n">
        <v>170235</v>
      </c>
      <c r="U3" t="n">
        <v>131241</v>
      </c>
    </row>
    <row r="4">
      <c r="A4" t="inlineStr">
        <is>
          <t>Lucknow</t>
        </is>
      </c>
      <c r="B4" t="n">
        <v>54572</v>
      </c>
      <c r="C4" t="n">
        <v>12839</v>
      </c>
      <c r="D4" t="n">
        <v>160123</v>
      </c>
      <c r="E4" t="n">
        <v>205087</v>
      </c>
      <c r="F4" t="n">
        <v>88801</v>
      </c>
      <c r="G4" t="n">
        <v>91001</v>
      </c>
      <c r="H4" t="n">
        <v>268361</v>
      </c>
      <c r="I4" t="n">
        <v>427456</v>
      </c>
      <c r="J4" t="n">
        <v>271188</v>
      </c>
      <c r="K4" t="n">
        <v>133461</v>
      </c>
      <c r="L4" t="n">
        <v>193012</v>
      </c>
      <c r="M4" t="n">
        <v>310060</v>
      </c>
      <c r="N4" t="n">
        <v>45080</v>
      </c>
      <c r="O4" t="n">
        <v>136648</v>
      </c>
      <c r="P4" t="n">
        <v>110317</v>
      </c>
      <c r="Q4" t="n">
        <v>52004</v>
      </c>
      <c r="R4" t="n">
        <v>126139</v>
      </c>
      <c r="S4" t="n">
        <v>208233</v>
      </c>
      <c r="T4" t="n">
        <v>160453</v>
      </c>
      <c r="U4" t="n">
        <v>179809</v>
      </c>
    </row>
    <row r="5">
      <c r="A5" t="inlineStr">
        <is>
          <t>Nagpur</t>
        </is>
      </c>
      <c r="B5" t="n">
        <v>114156</v>
      </c>
      <c r="C5" t="n">
        <v>92893</v>
      </c>
      <c r="D5" t="n">
        <v>79044</v>
      </c>
      <c r="E5" t="n">
        <v>137808</v>
      </c>
      <c r="F5" t="n">
        <v>143944</v>
      </c>
      <c r="G5" t="n">
        <v>95942</v>
      </c>
      <c r="H5" t="n">
        <v>94730</v>
      </c>
      <c r="I5" t="n">
        <v>228136</v>
      </c>
      <c r="J5" t="n">
        <v>161658</v>
      </c>
      <c r="K5" t="n">
        <v>157035</v>
      </c>
      <c r="L5" t="n">
        <v>108998</v>
      </c>
      <c r="M5" t="n">
        <v>147584</v>
      </c>
      <c r="N5" t="n">
        <v>94017</v>
      </c>
      <c r="O5" t="n">
        <v>98966</v>
      </c>
      <c r="P5" t="n">
        <v>105538</v>
      </c>
      <c r="Q5" t="n">
        <v>100470</v>
      </c>
      <c r="R5" t="n">
        <v>47993</v>
      </c>
      <c r="S5" t="n">
        <v>114016</v>
      </c>
      <c r="T5" t="n">
        <v>68216</v>
      </c>
      <c r="U5" t="n">
        <v>87179</v>
      </c>
    </row>
    <row r="6">
      <c r="A6" t="inlineStr">
        <is>
          <t>Mumbai</t>
        </is>
      </c>
      <c r="B6" t="n">
        <v>206316</v>
      </c>
      <c r="C6" t="n">
        <v>203334</v>
      </c>
      <c r="D6" t="n">
        <v>126176</v>
      </c>
      <c r="E6" t="n">
        <v>101640</v>
      </c>
      <c r="F6" t="n">
        <v>311711</v>
      </c>
      <c r="G6" t="n">
        <v>226479</v>
      </c>
      <c r="H6" t="n">
        <v>164076</v>
      </c>
      <c r="I6" t="n">
        <v>306831</v>
      </c>
      <c r="J6" t="n">
        <v>160410</v>
      </c>
      <c r="K6" t="n">
        <v>275392</v>
      </c>
      <c r="L6" t="n">
        <v>46114</v>
      </c>
      <c r="M6" t="n">
        <v>33716</v>
      </c>
      <c r="N6" t="n">
        <v>226712</v>
      </c>
      <c r="O6" t="n">
        <v>224714</v>
      </c>
      <c r="P6" t="n">
        <v>118295</v>
      </c>
      <c r="Q6" t="n">
        <v>156329</v>
      </c>
      <c r="R6" t="n">
        <v>202660</v>
      </c>
      <c r="S6" t="n">
        <v>112807</v>
      </c>
      <c r="T6" t="n">
        <v>129314</v>
      </c>
      <c r="U6" t="n">
        <v>25428</v>
      </c>
    </row>
    <row r="7">
      <c r="A7" t="inlineStr">
        <is>
          <t>Bengaluru</t>
        </is>
      </c>
      <c r="B7" t="n">
        <v>284418</v>
      </c>
      <c r="C7" t="n">
        <v>251741</v>
      </c>
      <c r="D7" t="n">
        <v>247365</v>
      </c>
      <c r="E7" t="n">
        <v>259770</v>
      </c>
      <c r="F7" t="n">
        <v>314008</v>
      </c>
      <c r="G7" t="n">
        <v>211725</v>
      </c>
      <c r="H7" t="n">
        <v>120000</v>
      </c>
      <c r="I7" t="n">
        <v>78354</v>
      </c>
      <c r="J7" t="n">
        <v>49639</v>
      </c>
      <c r="K7" t="n">
        <v>249600</v>
      </c>
      <c r="L7" t="n">
        <v>187650</v>
      </c>
      <c r="M7" t="n">
        <v>187476</v>
      </c>
      <c r="N7" t="n">
        <v>244860</v>
      </c>
      <c r="O7" t="n">
        <v>179415</v>
      </c>
      <c r="P7" t="n">
        <v>209318</v>
      </c>
      <c r="Q7" t="n">
        <v>202566</v>
      </c>
      <c r="R7" t="n">
        <v>198003</v>
      </c>
      <c r="S7" t="n">
        <v>15360</v>
      </c>
      <c r="T7" t="n">
        <v>69134</v>
      </c>
      <c r="U7" t="n">
        <v>145216</v>
      </c>
    </row>
    <row r="8">
      <c r="A8" t="inlineStr">
        <is>
          <t>Kolkata</t>
        </is>
      </c>
      <c r="B8" t="n">
        <v>223238</v>
      </c>
      <c r="C8" t="n">
        <v>161850</v>
      </c>
      <c r="D8" t="n">
        <v>307944</v>
      </c>
      <c r="E8" t="n">
        <v>362634</v>
      </c>
      <c r="F8" t="n">
        <v>97594</v>
      </c>
      <c r="G8" t="n">
        <v>51888</v>
      </c>
      <c r="H8" t="n">
        <v>302566</v>
      </c>
      <c r="I8" t="n">
        <v>391219</v>
      </c>
      <c r="J8" t="n">
        <v>274522</v>
      </c>
      <c r="K8" t="n">
        <v>67046</v>
      </c>
      <c r="L8" t="n">
        <v>309062</v>
      </c>
      <c r="M8" t="n">
        <v>428509</v>
      </c>
      <c r="N8" t="n">
        <v>110352</v>
      </c>
      <c r="O8" t="n">
        <v>58384</v>
      </c>
      <c r="P8" t="n">
        <v>231077</v>
      </c>
      <c r="Q8" t="n">
        <v>150102</v>
      </c>
      <c r="R8" t="n">
        <v>147680</v>
      </c>
      <c r="S8" t="n">
        <v>215974</v>
      </c>
      <c r="T8" t="n">
        <v>151560</v>
      </c>
      <c r="U8" t="n">
        <v>270371</v>
      </c>
    </row>
    <row r="9">
      <c r="A9" t="inlineStr">
        <is>
          <t>Chandigarh</t>
        </is>
      </c>
      <c r="B9" t="n">
        <v>71879</v>
      </c>
      <c r="C9" t="n">
        <v>93961</v>
      </c>
      <c r="D9" t="n">
        <v>194836</v>
      </c>
      <c r="E9" t="n">
        <v>193520</v>
      </c>
      <c r="F9" t="n">
        <v>188198</v>
      </c>
      <c r="G9" t="n">
        <v>170752</v>
      </c>
      <c r="H9" t="n">
        <v>346678</v>
      </c>
      <c r="I9" t="n">
        <v>520695</v>
      </c>
      <c r="J9" t="n">
        <v>301938</v>
      </c>
      <c r="K9" t="n">
        <v>179487</v>
      </c>
      <c r="L9" t="n">
        <v>197316</v>
      </c>
      <c r="M9" t="n">
        <v>342536</v>
      </c>
      <c r="N9" t="n">
        <v>136436</v>
      </c>
      <c r="O9" t="n">
        <v>213426</v>
      </c>
      <c r="P9" t="n">
        <v>80897</v>
      </c>
      <c r="Q9" t="n">
        <v>13053</v>
      </c>
      <c r="R9" t="n">
        <v>218660</v>
      </c>
      <c r="S9" t="n">
        <v>237823</v>
      </c>
      <c r="T9" t="n">
        <v>212702</v>
      </c>
      <c r="U9" t="n">
        <v>196313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 Variables (Shipment Tons)</t>
        </is>
      </c>
    </row>
    <row r="2">
      <c r="A2" t="inlineStr">
        <is>
          <t>Fill yellow cells. OpenSolver will optimize these.</t>
        </is>
      </c>
    </row>
    <row r="4">
      <c r="B4" s="3" t="inlineStr">
        <is>
          <t>Agra</t>
        </is>
      </c>
      <c r="C4" s="3" t="inlineStr">
        <is>
          <t>Kanpur</t>
        </is>
      </c>
      <c r="D4" s="3" t="inlineStr">
        <is>
          <t>Indore</t>
        </is>
      </c>
      <c r="E4" s="3" t="inlineStr">
        <is>
          <t>Ahmedabad</t>
        </is>
      </c>
      <c r="F4" s="3" t="inlineStr">
        <is>
          <t>Patna</t>
        </is>
      </c>
      <c r="G4" s="3" t="inlineStr">
        <is>
          <t>Ranchi</t>
        </is>
      </c>
      <c r="H4" s="3" t="inlineStr">
        <is>
          <t>Hyderabad</t>
        </is>
      </c>
      <c r="I4" s="3" t="inlineStr">
        <is>
          <t>Chennai</t>
        </is>
      </c>
      <c r="J4" s="3" t="inlineStr">
        <is>
          <t>Kochi</t>
        </is>
      </c>
      <c r="K4" s="3" t="inlineStr">
        <is>
          <t>Guwahati</t>
        </is>
      </c>
      <c r="L4" s="3" t="inlineStr">
        <is>
          <t>Surat</t>
        </is>
      </c>
      <c r="M4" s="3" t="inlineStr">
        <is>
          <t>Pune</t>
        </is>
      </c>
      <c r="N4" s="3" t="inlineStr">
        <is>
          <t>Varanasi</t>
        </is>
      </c>
      <c r="O4" s="3" t="inlineStr">
        <is>
          <t>Bhubaneswar</t>
        </is>
      </c>
      <c r="P4" s="3" t="inlineStr">
        <is>
          <t>Jodhpur</t>
        </is>
      </c>
      <c r="Q4" s="3" t="inlineStr">
        <is>
          <t>Dehradun</t>
        </is>
      </c>
      <c r="R4" s="3" t="inlineStr">
        <is>
          <t>Raipur</t>
        </is>
      </c>
      <c r="S4" s="3" t="inlineStr">
        <is>
          <t>Mysuru</t>
        </is>
      </c>
      <c r="T4" s="3" t="inlineStr">
        <is>
          <t>Vijayawada</t>
        </is>
      </c>
      <c r="U4" s="3" t="inlineStr">
        <is>
          <t>Nashik</t>
        </is>
      </c>
      <c r="V4" t="inlineStr">
        <is>
          <t>Used</t>
        </is>
      </c>
      <c r="W4" t="inlineStr">
        <is>
          <t>Capacity</t>
        </is>
      </c>
    </row>
    <row r="5">
      <c r="A5" t="inlineStr">
        <is>
          <t>Delhi</t>
        </is>
      </c>
      <c r="B5" s="4" t="n">
        <v>0</v>
      </c>
      <c r="C5" s="4" t="n">
        <v>0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  <c r="U5" s="4" t="n">
        <v>0</v>
      </c>
      <c r="V5">
        <f>SUM(B5:U5)</f>
        <v/>
      </c>
      <c r="W5" t="n">
        <v>550</v>
      </c>
    </row>
    <row r="6">
      <c r="A6" t="inlineStr">
        <is>
          <t>Jaipur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  <c r="U6" s="4" t="n">
        <v>0</v>
      </c>
      <c r="V6">
        <f>SUM(B6:U6)</f>
        <v/>
      </c>
      <c r="W6" t="n">
        <v>420</v>
      </c>
    </row>
    <row r="7">
      <c r="A7" t="inlineStr">
        <is>
          <t>Lucknow</t>
        </is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  <c r="U7" s="4" t="n">
        <v>0</v>
      </c>
      <c r="V7">
        <f>SUM(B7:U7)</f>
        <v/>
      </c>
      <c r="W7" t="n">
        <v>380</v>
      </c>
    </row>
    <row r="8">
      <c r="A8" t="inlineStr">
        <is>
          <t>Nagpur</t>
        </is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  <c r="U8" s="4" t="n">
        <v>0</v>
      </c>
      <c r="V8">
        <f>SUM(B8:U8)</f>
        <v/>
      </c>
      <c r="W8" t="n">
        <v>500</v>
      </c>
    </row>
    <row r="9">
      <c r="A9" t="inlineStr">
        <is>
          <t>Mumbai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>
        <f>SUM(B9:U9)</f>
        <v/>
      </c>
      <c r="W9" t="n">
        <v>650</v>
      </c>
    </row>
    <row r="10">
      <c r="A10" t="inlineStr">
        <is>
          <t>Bengaluru</t>
        </is>
      </c>
      <c r="B10" s="4" t="n">
        <v>0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  <c r="U10" s="4" t="n">
        <v>0</v>
      </c>
      <c r="V10">
        <f>SUM(B10:U10)</f>
        <v/>
      </c>
      <c r="W10" t="n">
        <v>480</v>
      </c>
    </row>
    <row r="11">
      <c r="A11" t="inlineStr">
        <is>
          <t>Kolkata</t>
        </is>
      </c>
      <c r="B11" s="4" t="n">
        <v>0</v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  <c r="U11" s="4" t="n">
        <v>0</v>
      </c>
      <c r="V11">
        <f>SUM(B11:U11)</f>
        <v/>
      </c>
      <c r="W11" t="n">
        <v>430</v>
      </c>
    </row>
    <row r="12">
      <c r="A12" t="inlineStr">
        <is>
          <t>Chandigarh</t>
        </is>
      </c>
      <c r="B12" s="4" t="n">
        <v>0</v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>
        <f>SUM(B12:U12)</f>
        <v/>
      </c>
      <c r="W12" t="n">
        <v>300</v>
      </c>
    </row>
    <row r="14">
      <c r="A14" t="inlineStr">
        <is>
          <t>Supplied</t>
        </is>
      </c>
      <c r="B14">
        <f>SUM(B5:B12)</f>
        <v/>
      </c>
      <c r="C14">
        <f>SUM(C5:C12)</f>
        <v/>
      </c>
      <c r="D14">
        <f>SUM(D5:D12)</f>
        <v/>
      </c>
      <c r="E14">
        <f>SUM(E5:E12)</f>
        <v/>
      </c>
      <c r="F14">
        <f>SUM(F5:F12)</f>
        <v/>
      </c>
      <c r="G14">
        <f>SUM(G5:G12)</f>
        <v/>
      </c>
      <c r="H14">
        <f>SUM(H5:H12)</f>
        <v/>
      </c>
      <c r="I14">
        <f>SUM(I5:I12)</f>
        <v/>
      </c>
      <c r="J14">
        <f>SUM(J5:J12)</f>
        <v/>
      </c>
      <c r="K14">
        <f>SUM(K5:K12)</f>
        <v/>
      </c>
      <c r="L14">
        <f>SUM(L5:L12)</f>
        <v/>
      </c>
      <c r="M14">
        <f>SUM(M5:M12)</f>
        <v/>
      </c>
      <c r="N14">
        <f>SUM(N5:N12)</f>
        <v/>
      </c>
      <c r="O14">
        <f>SUM(O5:O12)</f>
        <v/>
      </c>
      <c r="P14">
        <f>SUM(P5:P12)</f>
        <v/>
      </c>
      <c r="Q14">
        <f>SUM(Q5:Q12)</f>
        <v/>
      </c>
      <c r="R14">
        <f>SUM(R5:R12)</f>
        <v/>
      </c>
      <c r="S14">
        <f>SUM(S5:S12)</f>
        <v/>
      </c>
      <c r="T14">
        <f>SUM(T5:T12)</f>
        <v/>
      </c>
      <c r="U14">
        <f>SUM(U5:U12)</f>
        <v/>
      </c>
    </row>
    <row r="15">
      <c r="A15" t="inlineStr">
        <is>
          <t>Demand</t>
        </is>
      </c>
      <c r="B15" t="n">
        <v>60</v>
      </c>
      <c r="C15" t="n">
        <v>55</v>
      </c>
      <c r="D15" t="n">
        <v>75</v>
      </c>
      <c r="E15" t="n">
        <v>70</v>
      </c>
      <c r="F15" t="n">
        <v>65</v>
      </c>
      <c r="G15" t="n">
        <v>50</v>
      </c>
      <c r="H15" t="n">
        <v>80</v>
      </c>
      <c r="I15" t="n">
        <v>90</v>
      </c>
      <c r="J15" t="n">
        <v>45</v>
      </c>
      <c r="K15" t="n">
        <v>40</v>
      </c>
      <c r="L15" t="n">
        <v>60</v>
      </c>
      <c r="M15" t="n">
        <v>85</v>
      </c>
      <c r="N15" t="n">
        <v>55</v>
      </c>
      <c r="O15" t="n">
        <v>50</v>
      </c>
      <c r="P15" t="n">
        <v>45</v>
      </c>
      <c r="Q15" t="n">
        <v>35</v>
      </c>
      <c r="R15" t="n">
        <v>65</v>
      </c>
      <c r="S15" t="n">
        <v>40</v>
      </c>
      <c r="T15" t="n">
        <v>45</v>
      </c>
      <c r="U15" t="n">
        <v>55</v>
      </c>
    </row>
    <row r="18">
      <c r="A18" t="inlineStr">
        <is>
          <t>Objective (Total Freight Cost)</t>
        </is>
      </c>
      <c r="B18">
        <f>SUMPRODUCT(B5:U12,Cost_Matrix!B2:U9)</f>
        <v/>
      </c>
    </row>
    <row r="20">
      <c r="A20" t="inlineStr">
        <is>
          <t>OpenSolver Setup</t>
        </is>
      </c>
      <c r="B20" t="inlineStr">
        <is>
          <t>Objective Cell: B18 (Minimize)</t>
        </is>
      </c>
    </row>
    <row r="21">
      <c r="B21" t="inlineStr">
        <is>
          <t>Decision Cells: B5:U12</t>
        </is>
      </c>
    </row>
    <row r="22">
      <c r="B22" t="inlineStr">
        <is>
          <t>Constraints:</t>
        </is>
      </c>
    </row>
    <row r="23">
      <c r="B23" t="inlineStr">
        <is>
          <t>1. V5:V12 &lt;= W5:W12</t>
        </is>
      </c>
    </row>
    <row r="24">
      <c r="B24" t="inlineStr">
        <is>
          <t>2. B14:U14 = B15:U15</t>
        </is>
      </c>
    </row>
    <row r="25">
      <c r="B25" t="inlineStr">
        <is>
          <t>3. Decision cells &gt;= 0</t>
        </is>
      </c>
    </row>
    <row r="26">
      <c r="B26" t="inlineStr">
        <is>
          <t>Solver Engine: CBC (OpenSolver)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Logistics Dashboard</t>
        </is>
      </c>
    </row>
    <row r="3">
      <c r="A3" t="inlineStr">
        <is>
          <t>Metric</t>
        </is>
      </c>
      <c r="B3" t="inlineStr">
        <is>
          <t>Value</t>
        </is>
      </c>
    </row>
    <row r="4">
      <c r="A4" t="inlineStr">
        <is>
          <t>Baseline Cost</t>
        </is>
      </c>
      <c r="B4" t="n">
        <v>12500000</v>
      </c>
      <c r="D4" t="inlineStr">
        <is>
          <t>Delhi</t>
        </is>
      </c>
      <c r="E4" t="n">
        <v>550</v>
      </c>
    </row>
    <row r="5">
      <c r="A5" t="inlineStr">
        <is>
          <t>Optimized Cost</t>
        </is>
      </c>
      <c r="B5" t="n">
        <v>10937500</v>
      </c>
      <c r="D5" t="inlineStr">
        <is>
          <t>Jaipur</t>
        </is>
      </c>
      <c r="E5" t="n">
        <v>420</v>
      </c>
    </row>
    <row r="6">
      <c r="A6" t="inlineStr">
        <is>
          <t>Savings %</t>
        </is>
      </c>
      <c r="B6" t="inlineStr">
        <is>
          <t>12.5%</t>
        </is>
      </c>
      <c r="D6" t="inlineStr">
        <is>
          <t>Lucknow</t>
        </is>
      </c>
      <c r="E6" t="n">
        <v>380</v>
      </c>
    </row>
    <row r="7">
      <c r="A7" t="inlineStr">
        <is>
          <t>Warehouses</t>
        </is>
      </c>
      <c r="B7" t="n">
        <v>8</v>
      </c>
      <c r="D7" t="inlineStr">
        <is>
          <t>Nagpur</t>
        </is>
      </c>
      <c r="E7" t="n">
        <v>500</v>
      </c>
    </row>
    <row r="8">
      <c r="A8" t="inlineStr">
        <is>
          <t>Customers</t>
        </is>
      </c>
      <c r="B8" t="n">
        <v>20</v>
      </c>
      <c r="D8" t="inlineStr">
        <is>
          <t>Mumbai</t>
        </is>
      </c>
      <c r="E8" t="n">
        <v>650</v>
      </c>
    </row>
    <row r="9">
      <c r="D9" t="inlineStr">
        <is>
          <t>Bengaluru</t>
        </is>
      </c>
      <c r="E9" t="n">
        <v>480</v>
      </c>
    </row>
    <row r="10">
      <c r="D10" t="inlineStr">
        <is>
          <t>Kolkata</t>
        </is>
      </c>
      <c r="E10" t="n">
        <v>430</v>
      </c>
    </row>
    <row r="11">
      <c r="D11" t="inlineStr">
        <is>
          <t>Chandigarh</t>
        </is>
      </c>
      <c r="E11" t="n">
        <v>300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Transport Optimization Model (Excel + OpenSolver)</t>
        </is>
      </c>
    </row>
    <row r="2">
      <c r="A2" t="inlineStr"/>
    </row>
    <row r="3">
      <c r="A3" t="inlineStr">
        <is>
          <t>This workbook is structured like a logistics analytics internship project.</t>
        </is>
      </c>
    </row>
    <row r="4">
      <c r="A4" t="inlineStr">
        <is>
          <t>Workflow:</t>
        </is>
      </c>
    </row>
    <row r="5">
      <c r="A5" t="inlineStr">
        <is>
          <t>1. Master_Data stores warehouse/customer coordinates.</t>
        </is>
      </c>
    </row>
    <row r="6">
      <c r="A6" t="inlineStr">
        <is>
          <t>2. Distance_Matrix contains Haversine distances.</t>
        </is>
      </c>
    </row>
    <row r="7">
      <c r="A7" t="inlineStr">
        <is>
          <t>3. Cost_Matrix estimates freight costs.</t>
        </is>
      </c>
    </row>
    <row r="8">
      <c r="A8" t="inlineStr">
        <is>
          <t>4. OpenSolver_Model contains decision variables and objective.</t>
        </is>
      </c>
    </row>
    <row r="9">
      <c r="A9" t="inlineStr">
        <is>
          <t>5. Install OpenSolver, choose CBC solver, configure objective and constraints shown.</t>
        </is>
      </c>
    </row>
    <row r="10">
      <c r="A10" t="inlineStr"/>
    </row>
    <row r="11">
      <c r="A11" t="inlineStr">
        <is>
          <t>Expected optimization outcome: ~12.5% logistics cost reduction.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2026-07-17T06:09:07Z</dcterms:created>
  <dcterms:modified xmlns:dcterms="http://purl.org/dc/terms/" xmlns:xsi="http://www.w3.org/2001/XMLSchema-instance" xsi:type="dcterms:W3CDTF">2026-07-17T06:09:07Z</dcterms:modified>
</cp:coreProperties>
</file>